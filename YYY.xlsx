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ch\Desktop\"/>
    </mc:Choice>
  </mc:AlternateContent>
  <xr:revisionPtr revIDLastSave="0" documentId="13_ncr:1_{DC73E4CE-3A53-4F06-90EC-80DEB1895E8C}" xr6:coauthVersionLast="47" xr6:coauthVersionMax="47" xr10:uidLastSave="{00000000-0000-0000-0000-000000000000}"/>
  <bookViews>
    <workbookView xWindow="-120" yWindow="-120" windowWidth="29040" windowHeight="15840" xr2:uid="{A7837FE5-C378-4DA6-B48C-CF80A71BE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8" i="1"/>
  <c r="D8" i="1" s="1"/>
  <c r="C9" i="1"/>
  <c r="E9" i="1" s="1"/>
  <c r="F9" i="1" s="1"/>
  <c r="D9" i="1" l="1"/>
  <c r="G9" i="1" s="1"/>
  <c r="E8" i="1"/>
  <c r="F8" i="1" s="1"/>
  <c r="C5" i="1"/>
  <c r="G5" i="1" s="1"/>
  <c r="E5" i="1" l="1"/>
  <c r="D5" i="1"/>
  <c r="G8" i="1"/>
  <c r="F5" i="1" l="1"/>
  <c r="I5" i="1" s="1"/>
</calcChain>
</file>

<file path=xl/sharedStrings.xml><?xml version="1.0" encoding="utf-8"?>
<sst xmlns="http://schemas.openxmlformats.org/spreadsheetml/2006/main" count="18" uniqueCount="11">
  <si>
    <t>start</t>
  </si>
  <si>
    <t>end</t>
  </si>
  <si>
    <t>Y</t>
  </si>
  <si>
    <t>M</t>
  </si>
  <si>
    <t>result</t>
  </si>
  <si>
    <t>D</t>
  </si>
  <si>
    <t>YM</t>
  </si>
  <si>
    <t>MD</t>
  </si>
  <si>
    <t>assume</t>
  </si>
  <si>
    <t>D adj</t>
  </si>
  <si>
    <t>M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</si>
</sst>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9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11A6F-832D-4ED6-B8B3-E0DCD35E1A68}" name="Table1" displayName="Table1" ref="A7:G9" totalsRowShown="0" headerRowDxfId="5" dataDxfId="6">
  <autoFilter ref="A7:G9" xr:uid="{F5711A6F-832D-4ED6-B8B3-E0DCD35E1A68}"/>
  <tableColumns count="7">
    <tableColumn id="1" xr3:uid="{2F63AE80-8777-4216-B388-A8B6B2264A08}" name="start" dataDxfId="8"/>
    <tableColumn id="2" xr3:uid="{7D229808-480F-4FAF-8C13-060E16F99C29}" name="end" dataDxfId="7"/>
    <tableColumn id="3" xr3:uid="{748C4CB3-1997-41F9-8ABF-949FF12A8C07}" name="D" dataDxfId="4">
      <calculatedColumnFormula>DATEDIF(A8,B8,"D")</calculatedColumnFormula>
    </tableColumn>
    <tableColumn id="4" xr3:uid="{B4D1D603-72BB-4593-A176-ED06296A6C72}" name="Y" dataDxfId="3">
      <calculatedColumnFormula>ROUNDDOWN(C8/365,0)</calculatedColumnFormula>
    </tableColumn>
    <tableColumn id="5" xr3:uid="{B6D51CCD-8FA1-4FA7-B358-648323C3AEF2}" name="YM" dataDxfId="2">
      <calculatedColumnFormula>MOD(C8/365,1)*12</calculatedColumnFormula>
    </tableColumn>
    <tableColumn id="7" xr3:uid="{7E7BCF4B-A430-4F26-995B-20AC50D6D108}" name="MD" dataDxfId="1">
      <calculatedColumnFormula>MOD(Table1[[#This Row],[YM]],1)*30</calculatedColumnFormula>
    </tableColumn>
    <tableColumn id="6" xr3:uid="{A200BE07-9D9A-4B0C-9018-1AB6105B4A6C}" name="result" dataDxfId="0">
      <calculatedColumnFormula>D8&amp;"Y"&amp;ROUNDDOWN(E8,0)&amp;"M"&amp;"   "&amp;ROUND(Table1[[#This Row],[MD]],0)&amp;"D"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603B-5EC9-4E8D-8B36-A4FB3B9E7F34}">
  <dimension ref="A1:I10"/>
  <sheetViews>
    <sheetView tabSelected="1" zoomScaleNormal="100" workbookViewId="0">
      <selection activeCell="G8" sqref="G8:G9"/>
    </sheetView>
  </sheetViews>
  <sheetFormatPr defaultRowHeight="15" x14ac:dyDescent="0.25"/>
  <cols>
    <col min="1" max="1" width="10.85546875" style="1" customWidth="1"/>
    <col min="2" max="2" width="14.7109375" style="1" customWidth="1"/>
    <col min="3" max="6" width="7.7109375" style="1" customWidth="1"/>
    <col min="7" max="7" width="12" style="1" customWidth="1"/>
    <col min="8" max="8" width="8.140625" style="1" customWidth="1"/>
    <col min="9" max="9" width="18.28515625" style="1" customWidth="1"/>
    <col min="10" max="10" width="11.42578125" style="1" customWidth="1"/>
    <col min="11" max="16384" width="9.140625" style="1"/>
  </cols>
  <sheetData>
    <row r="1" spans="1:9" x14ac:dyDescent="0.25">
      <c r="C1" s="1" t="s">
        <v>8</v>
      </c>
      <c r="D1" s="1">
        <v>1</v>
      </c>
      <c r="E1" s="1" t="s">
        <v>2</v>
      </c>
      <c r="F1" s="1">
        <v>365</v>
      </c>
      <c r="G1" s="1" t="s">
        <v>5</v>
      </c>
    </row>
    <row r="2" spans="1:9" x14ac:dyDescent="0.25">
      <c r="D2" s="1">
        <v>1</v>
      </c>
      <c r="E2" s="1" t="s">
        <v>3</v>
      </c>
      <c r="F2" s="1">
        <f>F1/12</f>
        <v>30.416666666666668</v>
      </c>
      <c r="G2" s="1" t="s">
        <v>5</v>
      </c>
      <c r="H2" s="1">
        <v>30</v>
      </c>
    </row>
    <row r="4" spans="1:9" x14ac:dyDescent="0.25">
      <c r="C4" s="1" t="s">
        <v>5</v>
      </c>
      <c r="D4" s="1" t="s">
        <v>2</v>
      </c>
      <c r="E4" s="1" t="s">
        <v>3</v>
      </c>
      <c r="F4" s="1" t="s">
        <v>10</v>
      </c>
      <c r="G4" s="1" t="s">
        <v>9</v>
      </c>
      <c r="I4" s="1" t="s">
        <v>4</v>
      </c>
    </row>
    <row r="5" spans="1:9" x14ac:dyDescent="0.25">
      <c r="C5" s="1">
        <f>SUM(Table1[D])</f>
        <v>2214</v>
      </c>
      <c r="D5" s="1">
        <f t="shared" ref="D5" si="0">ROUNDDOWN(C5/365,0)</f>
        <v>6</v>
      </c>
      <c r="E5" s="1">
        <f>MOD(C5/$F$1,1)*12</f>
        <v>0.78904109589040772</v>
      </c>
      <c r="F5" s="1">
        <f>IF(MOD(C5,$H$2)=0,ROUNDDOWN(E5,0)+1,ROUNDDOWN(E5,0))</f>
        <v>0</v>
      </c>
      <c r="G5" s="1">
        <f>MOD(C5,$H$2)</f>
        <v>24</v>
      </c>
      <c r="I5" s="1" t="str">
        <f>D5&amp;"Y"&amp;F5&amp;"M"&amp;"    "&amp;G5&amp;"D"</f>
        <v>6Y0M    24D</v>
      </c>
    </row>
    <row r="7" spans="1:9" x14ac:dyDescent="0.25">
      <c r="A7" s="1" t="s">
        <v>0</v>
      </c>
      <c r="B7" s="1" t="s">
        <v>1</v>
      </c>
      <c r="C7" s="1" t="s">
        <v>5</v>
      </c>
      <c r="D7" s="1" t="s">
        <v>2</v>
      </c>
      <c r="E7" s="1" t="s">
        <v>6</v>
      </c>
      <c r="F7" s="1" t="s">
        <v>7</v>
      </c>
      <c r="G7" s="1" t="s">
        <v>4</v>
      </c>
    </row>
    <row r="8" spans="1:9" x14ac:dyDescent="0.25">
      <c r="A8" s="2">
        <v>44960</v>
      </c>
      <c r="B8" s="2">
        <v>44982</v>
      </c>
      <c r="C8" s="1">
        <f>DATEDIF(Table1[[#This Row],[start]],Table1[[#This Row],[end]]+1,Table1[[#Headers],[D]])</f>
        <v>23</v>
      </c>
      <c r="D8" s="1">
        <f t="shared" ref="D8:D9" si="1">ROUNDDOWN(C8/365,0)</f>
        <v>0</v>
      </c>
      <c r="E8" s="1">
        <f t="shared" ref="E8:E9" si="2">MOD(C8/365,1)*12</f>
        <v>0.75616438356164384</v>
      </c>
      <c r="F8" s="1">
        <f>MOD(Table1[[#This Row],[YM]],1)*30</f>
        <v>22.684931506849317</v>
      </c>
      <c r="G8" s="1" t="str">
        <f>D8&amp;"Y"&amp;ROUNDDOWN(E8,0)&amp;"M"&amp;"   "&amp;ROUND(Table1[[#This Row],[MD]],0)&amp;"D"</f>
        <v>0Y0M   23D</v>
      </c>
    </row>
    <row r="9" spans="1:9" x14ac:dyDescent="0.25">
      <c r="A9" s="2">
        <v>45021</v>
      </c>
      <c r="B9" s="2">
        <v>47212</v>
      </c>
      <c r="C9" s="1">
        <f>DATEDIF(Table1[[#This Row],[start]],Table1[[#This Row],[end]],Table1[[#Headers],[D]])</f>
        <v>2191</v>
      </c>
      <c r="D9" s="1">
        <f t="shared" si="1"/>
        <v>6</v>
      </c>
      <c r="E9" s="1">
        <f t="shared" si="2"/>
        <v>3.2876712328768321E-2</v>
      </c>
      <c r="F9" s="1">
        <f>MOD(Table1[[#This Row],[YM]],1)*30</f>
        <v>0.98630136986304962</v>
      </c>
      <c r="G9" s="1" t="str">
        <f>D9&amp;"Y"&amp;ROUNDDOWN(E9,0)&amp;"M"&amp;"   "&amp;ROUND(Table1[[#This Row],[MD]],0)&amp;"D"</f>
        <v>6Y0M   1D</v>
      </c>
    </row>
    <row r="10" spans="1:9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Mei Chan</dc:creator>
  <cp:lastModifiedBy>Wai Mei Chan</cp:lastModifiedBy>
  <dcterms:created xsi:type="dcterms:W3CDTF">2025-10-28T15:57:22Z</dcterms:created>
  <dcterms:modified xsi:type="dcterms:W3CDTF">2025-10-28T17:15:24Z</dcterms:modified>
</cp:coreProperties>
</file>